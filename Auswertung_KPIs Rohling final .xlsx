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FabianWecking/Desktop/"/>
    </mc:Choice>
  </mc:AlternateContent>
  <xr:revisionPtr revIDLastSave="0" documentId="13_ncr:1_{A568E2C4-57EE-5649-8553-BE81339D0B85}" xr6:coauthVersionLast="47" xr6:coauthVersionMax="47" xr10:uidLastSave="{00000000-0000-0000-0000-000000000000}"/>
  <bookViews>
    <workbookView xWindow="-38400" yWindow="-360" windowWidth="38400" windowHeight="19120" xr2:uid="{8476CEA8-946E-4FBA-8D08-329AB6C3B112}"/>
  </bookViews>
  <sheets>
    <sheet name="Data" sheetId="1" r:id="rId1"/>
    <sheet name="Dashboar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4" i="1" l="1"/>
  <c r="T24" i="1" s="1"/>
  <c r="Q19" i="1"/>
  <c r="S24" i="1"/>
  <c r="S19" i="1"/>
  <c r="R17" i="1"/>
  <c r="R9" i="1"/>
  <c r="Q5" i="1"/>
  <c r="Q7" i="1"/>
  <c r="C8" i="1"/>
  <c r="D8" i="1" s="1"/>
  <c r="C17" i="1"/>
  <c r="C9" i="1"/>
  <c r="C4" i="1"/>
  <c r="C6" i="1"/>
  <c r="D6" i="1" s="1"/>
  <c r="C7" i="1"/>
  <c r="D7" i="1" s="1"/>
  <c r="C5" i="1"/>
  <c r="D5" i="1" s="1"/>
  <c r="C12" i="1"/>
  <c r="D12" i="1" s="1"/>
  <c r="C13" i="1"/>
  <c r="D13" i="1" s="1"/>
  <c r="C14" i="1"/>
  <c r="D14" i="1" s="1"/>
  <c r="C15" i="1"/>
  <c r="D15" i="1" s="1"/>
  <c r="C20" i="1"/>
  <c r="D20" i="1" s="1"/>
  <c r="C21" i="1"/>
  <c r="D21" i="1" s="1"/>
  <c r="C22" i="1"/>
  <c r="D22" i="1" s="1"/>
  <c r="C23" i="1"/>
  <c r="D23" i="1" s="1"/>
  <c r="C24" i="1"/>
  <c r="D24" i="1" s="1"/>
  <c r="C19" i="1"/>
  <c r="D19" i="1" s="1"/>
  <c r="C27" i="1"/>
  <c r="D27" i="1" s="1"/>
  <c r="C3" i="1"/>
  <c r="D3" i="1" s="1"/>
  <c r="T19" i="1" l="1"/>
  <c r="C16" i="1"/>
  <c r="C32" i="1" s="1"/>
  <c r="Q17" i="1"/>
  <c r="C31" i="1"/>
  <c r="C30" i="1"/>
  <c r="D17" i="1"/>
  <c r="D16" i="1" l="1"/>
</calcChain>
</file>

<file path=xl/sharedStrings.xml><?xml version="1.0" encoding="utf-8"?>
<sst xmlns="http://schemas.openxmlformats.org/spreadsheetml/2006/main" count="47" uniqueCount="47">
  <si>
    <t>Anzahl KAI S2 Termine</t>
  </si>
  <si>
    <t>Anzahl Kunden in Reservierungsberatung</t>
  </si>
  <si>
    <t>Anzahl Einwertungsunterlagen angefordert</t>
  </si>
  <si>
    <t>Anzahl durchgeführte Potenzialarbeitstermine</t>
  </si>
  <si>
    <t>Anzahl Anmeldungen BGA Gäste (persönlich)</t>
  </si>
  <si>
    <t>Anzahl Anmeldungen BGA Gäste (digital)</t>
  </si>
  <si>
    <t xml:space="preserve">Anzahl Teilnehmer digitaler BGA </t>
  </si>
  <si>
    <t>Aktiver Beratungsprozess</t>
  </si>
  <si>
    <t>Kunden im Portal</t>
  </si>
  <si>
    <t>Veranstaltungen</t>
  </si>
  <si>
    <t>Vertriebspartnerbetreuung</t>
  </si>
  <si>
    <t>KPIs</t>
  </si>
  <si>
    <t xml:space="preserve">Anzahl Teilnehmer persönlicher BGA </t>
  </si>
  <si>
    <t xml:space="preserve">Notartermine in Vorlage </t>
  </si>
  <si>
    <t>Soll</t>
  </si>
  <si>
    <t>Mai</t>
  </si>
  <si>
    <t>Platzhalter (Reservierung erhalten, ohne Kunde)</t>
  </si>
  <si>
    <t>Kunden mit Reservierung (Reservierung erhalten bis inkl.  Kaufvertrag versendet)</t>
  </si>
  <si>
    <t>Anzahl NT stattgefunden</t>
  </si>
  <si>
    <t>Anzahl der angelegten Kunden (über Statistik im Portal)</t>
  </si>
  <si>
    <t>Anzahl Einwertungen (über TPQ)</t>
  </si>
  <si>
    <t>Sep</t>
  </si>
  <si>
    <t>Okt</t>
  </si>
  <si>
    <t>Nov</t>
  </si>
  <si>
    <t>Dez</t>
  </si>
  <si>
    <t>Jan</t>
  </si>
  <si>
    <t>Feb</t>
  </si>
  <si>
    <t>Mär</t>
  </si>
  <si>
    <t>Apr</t>
  </si>
  <si>
    <t>Jun</t>
  </si>
  <si>
    <t>Jul</t>
  </si>
  <si>
    <t>Aug</t>
  </si>
  <si>
    <t>Mittelwert</t>
  </si>
  <si>
    <t>Gesamt Teilnehmer BGA digital und persönlich</t>
  </si>
  <si>
    <t>Gesamt Anmeldung BGA digital und persönlich</t>
  </si>
  <si>
    <t>Konversionsrate eingewertete Kunden zu stattgefundenen Notarterminen</t>
  </si>
  <si>
    <t>Konversionsrate Anmeldungen zu Teilnehmer BGA</t>
  </si>
  <si>
    <t>Konversionsrate S2 zu Einwertung (Zahlen prüfen)</t>
  </si>
  <si>
    <t>Eingewertete Eigenkunden</t>
  </si>
  <si>
    <t>Anzahl Kunden insgesamt ohne Einwertung</t>
  </si>
  <si>
    <t>Anzahl neue Potenziale</t>
  </si>
  <si>
    <t xml:space="preserve">Gesamtkundenzahl mit Einwertung </t>
  </si>
  <si>
    <t>Abweichung</t>
  </si>
  <si>
    <t>aktuellste Monatszahl</t>
  </si>
  <si>
    <t>Summe Soll</t>
  </si>
  <si>
    <t>Summe IST</t>
  </si>
  <si>
    <t>Differenz IST SOLL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</si>
</sst>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4"/>
      <color rgb="FF0E0E0E"/>
      <name val=".AppleSystemUIFont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medium">
        <color theme="3" tint="9.9978637043366805E-2"/>
      </right>
      <top/>
      <bottom/>
      <diagonal/>
    </border>
    <border>
      <left style="thin">
        <color theme="3" tint="0.249977111117893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17" fontId="1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17" fontId="1" fillId="2" borderId="0" xfId="0" applyNumberFormat="1" applyFont="1" applyFill="1"/>
    <xf numFmtId="0" fontId="0" fillId="2" borderId="0" xfId="0" applyFill="1"/>
    <xf numFmtId="0" fontId="0" fillId="3" borderId="0" xfId="0" applyFill="1"/>
    <xf numFmtId="17" fontId="2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17" fontId="2" fillId="0" borderId="1" xfId="0" applyNumberFormat="1" applyFont="1" applyBorder="1"/>
    <xf numFmtId="0" fontId="2" fillId="2" borderId="1" xfId="0" applyFont="1" applyFill="1" applyBorder="1"/>
    <xf numFmtId="10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4" fontId="4" fillId="2" borderId="0" xfId="0" applyNumberFormat="1" applyFont="1" applyFill="1"/>
    <xf numFmtId="0" fontId="0" fillId="0" borderId="2" xfId="0" applyBorder="1"/>
    <xf numFmtId="0" fontId="0" fillId="2" borderId="0" xfId="0" applyFill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0" fontId="4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Standard" xfId="0" builtinId="0"/>
  </cellStyles>
  <dxfs count="7">
    <dxf>
      <border diagonalUp="0" diagonalDown="0">
        <left/>
        <right style="medium">
          <color theme="3" tint="9.9978637043366805E-2"/>
        </right>
        <top/>
        <bottom/>
        <vertical/>
        <horizontal/>
      </border>
    </dxf>
    <dxf>
      <border diagonalUp="0" diagonalDown="0">
        <left/>
        <right style="medium">
          <color theme="3" tint="9.9978637043366805E-2"/>
        </right>
        <top/>
        <bottom/>
        <vertical/>
        <horizontal/>
      </border>
    </dxf>
    <dxf>
      <border outline="0">
        <left style="thin">
          <color theme="3" tint="0.249977111117893"/>
        </left>
      </border>
    </dxf>
    <dxf>
      <border diagonalUp="0" diagonalDown="0">
        <left/>
        <right style="medium">
          <color theme="3" tint="9.9978637043366805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alignment horizontal="left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F8674"/>
      <color rgb="FFDCEAF7"/>
      <color rgb="FFF969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Data!$A$12</c:f>
              <c:strCache>
                <c:ptCount val="1"/>
                <c:pt idx="0">
                  <c:v>Anzahl Anmeldungen BGA Gäste (digital)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Data!$E$12:$P$12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6E45-AF95-ACA06F1F8BD4}"/>
            </c:ext>
          </c:extLst>
        </c:ser>
        <c:ser>
          <c:idx val="1"/>
          <c:order val="1"/>
          <c:tx>
            <c:strRef>
              <c:f>Data!$A$13</c:f>
              <c:strCache>
                <c:ptCount val="1"/>
                <c:pt idx="0">
                  <c:v>Anzahl Teilnehmer digitaler BGA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Data!$E$13:$P$13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7-6E45-AF95-ACA06F1F8BD4}"/>
            </c:ext>
          </c:extLst>
        </c:ser>
        <c:ser>
          <c:idx val="2"/>
          <c:order val="2"/>
          <c:tx>
            <c:strRef>
              <c:f>Data!$A$14</c:f>
              <c:strCache>
                <c:ptCount val="1"/>
                <c:pt idx="0">
                  <c:v>Anzahl Anmeldungen BGA Gäste (persönlich)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Data!$E$14:$P$14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E7-6E45-AF95-ACA06F1F8BD4}"/>
            </c:ext>
          </c:extLst>
        </c:ser>
        <c:ser>
          <c:idx val="3"/>
          <c:order val="3"/>
          <c:tx>
            <c:strRef>
              <c:f>Data!$A$15</c:f>
              <c:strCache>
                <c:ptCount val="1"/>
                <c:pt idx="0">
                  <c:v>Anzahl Teilnehmer persönlicher BGA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Data!$E$1:$P$1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Data!$E$15:$P$15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E7-6E45-AF95-ACA06F1F8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328432"/>
        <c:axId val="749330144"/>
      </c:barChart>
      <c:catAx>
        <c:axId val="74932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9330144"/>
        <c:crosses val="autoZero"/>
        <c:auto val="1"/>
        <c:lblAlgn val="ctr"/>
        <c:lblOffset val="100"/>
        <c:noMultiLvlLbl val="0"/>
      </c:catAx>
      <c:valAx>
        <c:axId val="74933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932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E1-2649-BE2D-1DC0E54AB741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E1-2649-BE2D-1DC0E54AB741}"/>
              </c:ext>
            </c:extLst>
          </c:dPt>
          <c:val>
            <c:numRef>
              <c:f>(Data!$Q$19,Data!$T$19)</c:f>
              <c:numCache>
                <c:formatCode>General</c:formatCode>
                <c:ptCount val="2"/>
                <c:pt idx="0">
                  <c:v>19</c:v>
                </c:pt>
                <c:pt idx="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1-2649-BE2D-1DC0E54A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41-934B-A0F1-631AC5291D4B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41-934B-A0F1-631AC5291D4B}"/>
              </c:ext>
            </c:extLst>
          </c:dPt>
          <c:val>
            <c:numRef>
              <c:f>(Data!$Q$24,Data!$T$24)</c:f>
              <c:numCache>
                <c:formatCode>General</c:formatCode>
                <c:ptCount val="2"/>
                <c:pt idx="0">
                  <c:v>2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41-934B-A0F1-631AC5291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12700</xdr:colOff>
      <xdr:row>4</xdr:row>
      <xdr:rowOff>177800</xdr:rowOff>
    </xdr:from>
    <xdr:to>
      <xdr:col>20</xdr:col>
      <xdr:colOff>0</xdr:colOff>
      <xdr:row>10</xdr:row>
      <xdr:rowOff>0</xdr:rowOff>
    </xdr:to>
    <xdr:sp macro="" textlink="Data!Q24">
      <xdr:nvSpPr>
        <xdr:cNvPr id="2" name="Abgerundetes Rechteck 1">
          <a:extLst>
            <a:ext uri="{FF2B5EF4-FFF2-40B4-BE49-F238E27FC236}">
              <a16:creationId xmlns:a16="http://schemas.microsoft.com/office/drawing/2014/main" id="{1EA12184-3DCE-F834-9985-5EB5C30E7B32}"/>
            </a:ext>
          </a:extLst>
        </xdr:cNvPr>
        <xdr:cNvSpPr/>
      </xdr:nvSpPr>
      <xdr:spPr>
        <a:xfrm>
          <a:off x="14046200" y="939800"/>
          <a:ext cx="24638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5486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2A0B57FC-EE5A-6E40-AD6E-407C0DC0254F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l"/>
            <a:t>2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13</xdr:col>
      <xdr:colOff>668020</xdr:colOff>
      <xdr:row>4</xdr:row>
      <xdr:rowOff>173736</xdr:rowOff>
    </xdr:from>
    <xdr:to>
      <xdr:col>16</xdr:col>
      <xdr:colOff>655320</xdr:colOff>
      <xdr:row>10</xdr:row>
      <xdr:rowOff>0</xdr:rowOff>
    </xdr:to>
    <xdr:sp macro="" textlink="Data!Q19">
      <xdr:nvSpPr>
        <xdr:cNvPr id="3" name="Abgerundetes Rechteck 2">
          <a:extLst>
            <a:ext uri="{FF2B5EF4-FFF2-40B4-BE49-F238E27FC236}">
              <a16:creationId xmlns:a16="http://schemas.microsoft.com/office/drawing/2014/main" id="{9533518C-25E2-FC4E-8420-6FB88C4BB4A3}"/>
            </a:ext>
          </a:extLst>
        </xdr:cNvPr>
        <xdr:cNvSpPr/>
      </xdr:nvSpPr>
      <xdr:spPr>
        <a:xfrm>
          <a:off x="11399520" y="935736"/>
          <a:ext cx="2463800" cy="969264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5486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7D7B0328-575E-C946-A171-3F31CD91E2CB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l"/>
            <a:t>19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7</xdr:col>
      <xdr:colOff>332740</xdr:colOff>
      <xdr:row>4</xdr:row>
      <xdr:rowOff>177800</xdr:rowOff>
    </xdr:from>
    <xdr:to>
      <xdr:col>10</xdr:col>
      <xdr:colOff>320040</xdr:colOff>
      <xdr:row>10</xdr:row>
      <xdr:rowOff>0</xdr:rowOff>
    </xdr:to>
    <xdr:sp macro="" textlink="Data!R9">
      <xdr:nvSpPr>
        <xdr:cNvPr id="4" name="Abgerundetes Rechteck 3">
          <a:extLst>
            <a:ext uri="{FF2B5EF4-FFF2-40B4-BE49-F238E27FC236}">
              <a16:creationId xmlns:a16="http://schemas.microsoft.com/office/drawing/2014/main" id="{307E5212-75C2-AE49-A949-69F17D0997FF}"/>
            </a:ext>
          </a:extLst>
        </xdr:cNvPr>
        <xdr:cNvSpPr/>
      </xdr:nvSpPr>
      <xdr:spPr>
        <a:xfrm>
          <a:off x="6111240" y="939800"/>
          <a:ext cx="24638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85BB0D9D-9ED9-0947-852E-143A84AD7E61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101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4</xdr:col>
      <xdr:colOff>162560</xdr:colOff>
      <xdr:row>4</xdr:row>
      <xdr:rowOff>177800</xdr:rowOff>
    </xdr:from>
    <xdr:to>
      <xdr:col>7</xdr:col>
      <xdr:colOff>149860</xdr:colOff>
      <xdr:row>10</xdr:row>
      <xdr:rowOff>0</xdr:rowOff>
    </xdr:to>
    <xdr:sp macro="" textlink="Data!Q7">
      <xdr:nvSpPr>
        <xdr:cNvPr id="5" name="Abgerundetes Rechteck 4">
          <a:extLst>
            <a:ext uri="{FF2B5EF4-FFF2-40B4-BE49-F238E27FC236}">
              <a16:creationId xmlns:a16="http://schemas.microsoft.com/office/drawing/2014/main" id="{796964CE-DDA1-0D46-A3E0-E6E5EE416B9B}"/>
            </a:ext>
          </a:extLst>
        </xdr:cNvPr>
        <xdr:cNvSpPr/>
      </xdr:nvSpPr>
      <xdr:spPr>
        <a:xfrm>
          <a:off x="3464560" y="939800"/>
          <a:ext cx="24638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D737480-C2C3-1F40-8F64-FE267F63B184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11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0</xdr:col>
      <xdr:colOff>817880</xdr:colOff>
      <xdr:row>4</xdr:row>
      <xdr:rowOff>177800</xdr:rowOff>
    </xdr:from>
    <xdr:to>
      <xdr:col>3</xdr:col>
      <xdr:colOff>805180</xdr:colOff>
      <xdr:row>10</xdr:row>
      <xdr:rowOff>0</xdr:rowOff>
    </xdr:to>
    <xdr:sp macro="" textlink="Data!Q5">
      <xdr:nvSpPr>
        <xdr:cNvPr id="6" name="Abgerundetes Rechteck 5">
          <a:extLst>
            <a:ext uri="{FF2B5EF4-FFF2-40B4-BE49-F238E27FC236}">
              <a16:creationId xmlns:a16="http://schemas.microsoft.com/office/drawing/2014/main" id="{58142929-F690-1841-A150-29B52871C353}"/>
            </a:ext>
          </a:extLst>
        </xdr:cNvPr>
        <xdr:cNvSpPr/>
      </xdr:nvSpPr>
      <xdr:spPr>
        <a:xfrm>
          <a:off x="817880" y="939800"/>
          <a:ext cx="24638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71B4709F-5E6D-8D4E-B187-6D441330F8F5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42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 editAs="oneCell">
    <xdr:from>
      <xdr:col>1</xdr:col>
      <xdr:colOff>38100</xdr:colOff>
      <xdr:row>0</xdr:row>
      <xdr:rowOff>139701</xdr:rowOff>
    </xdr:from>
    <xdr:to>
      <xdr:col>3</xdr:col>
      <xdr:colOff>38100</xdr:colOff>
      <xdr:row>3</xdr:row>
      <xdr:rowOff>174451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40A8988-6ECB-D462-0873-163F20EEC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" y="139701"/>
          <a:ext cx="1651000" cy="606250"/>
        </a:xfrm>
        <a:prstGeom prst="rect">
          <a:avLst/>
        </a:prstGeom>
      </xdr:spPr>
    </xdr:pic>
    <xdr:clientData/>
  </xdr:twoCellAnchor>
  <xdr:twoCellAnchor>
    <xdr:from>
      <xdr:col>17</xdr:col>
      <xdr:colOff>76200</xdr:colOff>
      <xdr:row>4</xdr:row>
      <xdr:rowOff>152400</xdr:rowOff>
    </xdr:from>
    <xdr:to>
      <xdr:col>20</xdr:col>
      <xdr:colOff>76200</xdr:colOff>
      <xdr:row>7</xdr:row>
      <xdr:rowOff>127000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5501F07B-B1FE-722C-13E4-7614AB4B26E5}"/>
            </a:ext>
          </a:extLst>
        </xdr:cNvPr>
        <xdr:cNvSpPr txBox="1"/>
      </xdr:nvSpPr>
      <xdr:spPr>
        <a:xfrm>
          <a:off x="14109700" y="914400"/>
          <a:ext cx="2476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DE" sz="1200" b="0" kern="1200">
              <a:solidFill>
                <a:schemeClr val="bg1"/>
              </a:solidFill>
            </a:rPr>
            <a:t>Gesamt Notartermine</a:t>
          </a:r>
          <a:br>
            <a:rPr lang="de-DE" sz="1200" b="0" kern="1200">
              <a:solidFill>
                <a:schemeClr val="bg1"/>
              </a:solidFill>
            </a:rPr>
          </a:br>
          <a:r>
            <a:rPr lang="de-DE" sz="1200" b="0" kern="1200">
              <a:solidFill>
                <a:schemeClr val="bg1"/>
              </a:solidFill>
            </a:rPr>
            <a:t>stattgefunden</a:t>
          </a:r>
        </a:p>
      </xdr:txBody>
    </xdr:sp>
    <xdr:clientData/>
  </xdr:twoCellAnchor>
  <xdr:twoCellAnchor>
    <xdr:from>
      <xdr:col>13</xdr:col>
      <xdr:colOff>685800</xdr:colOff>
      <xdr:row>5</xdr:row>
      <xdr:rowOff>114300</xdr:rowOff>
    </xdr:from>
    <xdr:to>
      <xdr:col>16</xdr:col>
      <xdr:colOff>685800</xdr:colOff>
      <xdr:row>7</xdr:row>
      <xdr:rowOff>0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96B84505-D072-FD4B-948B-073BD0A4FB2A}"/>
            </a:ext>
          </a:extLst>
        </xdr:cNvPr>
        <xdr:cNvSpPr txBox="1"/>
      </xdr:nvSpPr>
      <xdr:spPr>
        <a:xfrm>
          <a:off x="11417300" y="1066800"/>
          <a:ext cx="2476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DE" sz="1200" b="0" kern="1200">
              <a:solidFill>
                <a:schemeClr val="bg1"/>
              </a:solidFill>
            </a:rPr>
            <a:t>Gesamt</a:t>
          </a:r>
          <a:r>
            <a:rPr lang="de-DE" sz="1200" b="0" kern="1200" baseline="0">
              <a:solidFill>
                <a:schemeClr val="bg1"/>
              </a:solidFill>
            </a:rPr>
            <a:t> KAI S2 Termine</a:t>
          </a:r>
          <a:endParaRPr lang="de-DE" sz="1200" b="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330200</xdr:colOff>
      <xdr:row>5</xdr:row>
      <xdr:rowOff>114300</xdr:rowOff>
    </xdr:from>
    <xdr:to>
      <xdr:col>10</xdr:col>
      <xdr:colOff>330200</xdr:colOff>
      <xdr:row>7</xdr:row>
      <xdr:rowOff>0</xdr:rowOff>
    </xdr:to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B2E020AC-BB5C-E547-8DC7-509B9C2CEEC2}"/>
            </a:ext>
          </a:extLst>
        </xdr:cNvPr>
        <xdr:cNvSpPr txBox="1"/>
      </xdr:nvSpPr>
      <xdr:spPr>
        <a:xfrm>
          <a:off x="6108700" y="1066800"/>
          <a:ext cx="2476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Gesamtkundenzahl mit Einwertung </a:t>
          </a:r>
        </a:p>
      </xdr:txBody>
    </xdr:sp>
    <xdr:clientData/>
  </xdr:twoCellAnchor>
  <xdr:twoCellAnchor>
    <xdr:from>
      <xdr:col>4</xdr:col>
      <xdr:colOff>152400</xdr:colOff>
      <xdr:row>5</xdr:row>
      <xdr:rowOff>114300</xdr:rowOff>
    </xdr:from>
    <xdr:to>
      <xdr:col>7</xdr:col>
      <xdr:colOff>152400</xdr:colOff>
      <xdr:row>7</xdr:row>
      <xdr:rowOff>0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CB7576FF-F197-DE45-B585-B45EF07DD823}"/>
            </a:ext>
          </a:extLst>
        </xdr:cNvPr>
        <xdr:cNvSpPr txBox="1"/>
      </xdr:nvSpPr>
      <xdr:spPr>
        <a:xfrm>
          <a:off x="3454400" y="1066800"/>
          <a:ext cx="2476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Anzahl Einwertungen (über TPQ)</a:t>
          </a:r>
        </a:p>
      </xdr:txBody>
    </xdr:sp>
    <xdr:clientData/>
  </xdr:twoCellAnchor>
  <xdr:twoCellAnchor>
    <xdr:from>
      <xdr:col>0</xdr:col>
      <xdr:colOff>812800</xdr:colOff>
      <xdr:row>4</xdr:row>
      <xdr:rowOff>152400</xdr:rowOff>
    </xdr:from>
    <xdr:to>
      <xdr:col>3</xdr:col>
      <xdr:colOff>812800</xdr:colOff>
      <xdr:row>7</xdr:row>
      <xdr:rowOff>114300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AB9A1531-D346-874B-8898-783720437EA4}"/>
            </a:ext>
          </a:extLst>
        </xdr:cNvPr>
        <xdr:cNvSpPr txBox="1"/>
      </xdr:nvSpPr>
      <xdr:spPr>
        <a:xfrm>
          <a:off x="812800" y="914400"/>
          <a:ext cx="2476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Anzahl der angelegten Kunden </a:t>
          </a:r>
        </a:p>
        <a:p>
          <a:pPr algn="ctr"/>
          <a:r>
            <a:rPr lang="de-DE" sz="1200" b="0" kern="1200">
              <a:solidFill>
                <a:schemeClr val="bg1"/>
              </a:solidFill>
            </a:rPr>
            <a:t>(über Statistik im Portal)</a:t>
          </a:r>
        </a:p>
      </xdr:txBody>
    </xdr:sp>
    <xdr:clientData/>
  </xdr:twoCellAnchor>
  <xdr:twoCellAnchor>
    <xdr:from>
      <xdr:col>0</xdr:col>
      <xdr:colOff>749300</xdr:colOff>
      <xdr:row>11</xdr:row>
      <xdr:rowOff>0</xdr:rowOff>
    </xdr:from>
    <xdr:to>
      <xdr:col>20</xdr:col>
      <xdr:colOff>50800</xdr:colOff>
      <xdr:row>11</xdr:row>
      <xdr:rowOff>0</xdr:rowOff>
    </xdr:to>
    <xdr:cxnSp macro="">
      <xdr:nvCxnSpPr>
        <xdr:cNvPr id="17" name="Gerade Verbindung 16">
          <a:extLst>
            <a:ext uri="{FF2B5EF4-FFF2-40B4-BE49-F238E27FC236}">
              <a16:creationId xmlns:a16="http://schemas.microsoft.com/office/drawing/2014/main" id="{A5CECB4E-E606-16D0-4BFE-1D7DCF9C1B9C}"/>
            </a:ext>
          </a:extLst>
        </xdr:cNvPr>
        <xdr:cNvCxnSpPr/>
      </xdr:nvCxnSpPr>
      <xdr:spPr>
        <a:xfrm>
          <a:off x="749300" y="2095500"/>
          <a:ext cx="15811500" cy="0"/>
        </a:xfrm>
        <a:prstGeom prst="line">
          <a:avLst/>
        </a:prstGeom>
        <a:ln w="317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812800</xdr:colOff>
      <xdr:row>12</xdr:row>
      <xdr:rowOff>19050</xdr:rowOff>
    </xdr:from>
    <xdr:to>
      <xdr:col>5</xdr:col>
      <xdr:colOff>0</xdr:colOff>
      <xdr:row>17</xdr:row>
      <xdr:rowOff>31750</xdr:rowOff>
    </xdr:to>
    <xdr:sp macro="" textlink="Data!D5">
      <xdr:nvSpPr>
        <xdr:cNvPr id="22" name="Abgerundetes Rechteck 21">
          <a:extLst>
            <a:ext uri="{FF2B5EF4-FFF2-40B4-BE49-F238E27FC236}">
              <a16:creationId xmlns:a16="http://schemas.microsoft.com/office/drawing/2014/main" id="{6213BCD1-F123-AB43-A23F-F9D15B15082B}"/>
            </a:ext>
          </a:extLst>
        </xdr:cNvPr>
        <xdr:cNvSpPr/>
      </xdr:nvSpPr>
      <xdr:spPr>
        <a:xfrm>
          <a:off x="812800" y="230505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D5B1B820-2D2D-3747-87F8-43A7EF4C2F52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-30,00%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5</xdr:col>
      <xdr:colOff>812800</xdr:colOff>
      <xdr:row>12</xdr:row>
      <xdr:rowOff>6350</xdr:rowOff>
    </xdr:from>
    <xdr:to>
      <xdr:col>10</xdr:col>
      <xdr:colOff>0</xdr:colOff>
      <xdr:row>17</xdr:row>
      <xdr:rowOff>19050</xdr:rowOff>
    </xdr:to>
    <xdr:sp macro="" textlink="Data!D7">
      <xdr:nvSpPr>
        <xdr:cNvPr id="23" name="Abgerundetes Rechteck 22">
          <a:extLst>
            <a:ext uri="{FF2B5EF4-FFF2-40B4-BE49-F238E27FC236}">
              <a16:creationId xmlns:a16="http://schemas.microsoft.com/office/drawing/2014/main" id="{FF88B5E0-9370-EA40-A78F-4AA23882C982}"/>
            </a:ext>
          </a:extLst>
        </xdr:cNvPr>
        <xdr:cNvSpPr/>
      </xdr:nvSpPr>
      <xdr:spPr>
        <a:xfrm>
          <a:off x="4940300" y="229235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1036250D-D964-6B4D-AC8F-EB2FCD91D4A2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-31,25%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10</xdr:col>
      <xdr:colOff>812800</xdr:colOff>
      <xdr:row>12</xdr:row>
      <xdr:rowOff>6350</xdr:rowOff>
    </xdr:from>
    <xdr:to>
      <xdr:col>15</xdr:col>
      <xdr:colOff>0</xdr:colOff>
      <xdr:row>17</xdr:row>
      <xdr:rowOff>19050</xdr:rowOff>
    </xdr:to>
    <xdr:sp macro="" textlink="Data!D19">
      <xdr:nvSpPr>
        <xdr:cNvPr id="24" name="Abgerundetes Rechteck 23">
          <a:extLst>
            <a:ext uri="{FF2B5EF4-FFF2-40B4-BE49-F238E27FC236}">
              <a16:creationId xmlns:a16="http://schemas.microsoft.com/office/drawing/2014/main" id="{0C7BE7EB-3BC6-7741-98C7-FE7399BD2234}"/>
            </a:ext>
          </a:extLst>
        </xdr:cNvPr>
        <xdr:cNvSpPr/>
      </xdr:nvSpPr>
      <xdr:spPr>
        <a:xfrm>
          <a:off x="9067800" y="229235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82EEBFB1-4626-FC4A-AEF3-E93D7274191E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-5,00%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15</xdr:col>
      <xdr:colOff>812800</xdr:colOff>
      <xdr:row>11</xdr:row>
      <xdr:rowOff>184150</xdr:rowOff>
    </xdr:from>
    <xdr:to>
      <xdr:col>20</xdr:col>
      <xdr:colOff>0</xdr:colOff>
      <xdr:row>17</xdr:row>
      <xdr:rowOff>6350</xdr:rowOff>
    </xdr:to>
    <xdr:sp macro="" textlink="Data!D24">
      <xdr:nvSpPr>
        <xdr:cNvPr id="25" name="Abgerundetes Rechteck 24">
          <a:extLst>
            <a:ext uri="{FF2B5EF4-FFF2-40B4-BE49-F238E27FC236}">
              <a16:creationId xmlns:a16="http://schemas.microsoft.com/office/drawing/2014/main" id="{C4AAFDCF-1B49-FB45-B3B2-7CB41E4203C5}"/>
            </a:ext>
          </a:extLst>
        </xdr:cNvPr>
        <xdr:cNvSpPr/>
      </xdr:nvSpPr>
      <xdr:spPr>
        <a:xfrm>
          <a:off x="13195300" y="227965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49268385-B602-D541-9E60-49445ABAAD09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-50,00%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1</xdr:col>
      <xdr:colOff>0</xdr:colOff>
      <xdr:row>12</xdr:row>
      <xdr:rowOff>12700</xdr:rowOff>
    </xdr:from>
    <xdr:to>
      <xdr:col>5</xdr:col>
      <xdr:colOff>0</xdr:colOff>
      <xdr:row>14</xdr:row>
      <xdr:rowOff>152400</xdr:rowOff>
    </xdr:to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7D1D21F9-1818-E14C-945F-B750FC6303C6}"/>
            </a:ext>
          </a:extLst>
        </xdr:cNvPr>
        <xdr:cNvSpPr txBox="1"/>
      </xdr:nvSpPr>
      <xdr:spPr>
        <a:xfrm>
          <a:off x="825500" y="22987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Abweichung Soll Anzahl der angelegten Kunden (über Statistik im Portal)</a:t>
          </a:r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10</xdr:col>
      <xdr:colOff>0</xdr:colOff>
      <xdr:row>14</xdr:row>
      <xdr:rowOff>139700</xdr:rowOff>
    </xdr:to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3D66AA14-4A4A-5749-A752-3F887EDBA4B0}"/>
            </a:ext>
          </a:extLst>
        </xdr:cNvPr>
        <xdr:cNvSpPr txBox="1"/>
      </xdr:nvSpPr>
      <xdr:spPr>
        <a:xfrm>
          <a:off x="4953000" y="22860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Abweichung Soll Anzahl Einwertungen (über TPQ)</a:t>
          </a:r>
        </a:p>
      </xdr:txBody>
    </xdr:sp>
    <xdr:clientData/>
  </xdr:twoCellAnchor>
  <xdr:twoCellAnchor>
    <xdr:from>
      <xdr:col>11</xdr:col>
      <xdr:colOff>12700</xdr:colOff>
      <xdr:row>12</xdr:row>
      <xdr:rowOff>12700</xdr:rowOff>
    </xdr:from>
    <xdr:to>
      <xdr:col>15</xdr:col>
      <xdr:colOff>12700</xdr:colOff>
      <xdr:row>14</xdr:row>
      <xdr:rowOff>152400</xdr:rowOff>
    </xdr:to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A0E05BBC-827D-384A-86D4-635C9C954FB9}"/>
            </a:ext>
          </a:extLst>
        </xdr:cNvPr>
        <xdr:cNvSpPr txBox="1"/>
      </xdr:nvSpPr>
      <xdr:spPr>
        <a:xfrm>
          <a:off x="9093200" y="22987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Abweichung Soll Anzahl KAI S2 Termine</a:t>
          </a:r>
        </a:p>
      </xdr:txBody>
    </xdr:sp>
    <xdr:clientData/>
  </xdr:twoCellAnchor>
  <xdr:twoCellAnchor>
    <xdr:from>
      <xdr:col>16</xdr:col>
      <xdr:colOff>12700</xdr:colOff>
      <xdr:row>11</xdr:row>
      <xdr:rowOff>177800</xdr:rowOff>
    </xdr:from>
    <xdr:to>
      <xdr:col>20</xdr:col>
      <xdr:colOff>12700</xdr:colOff>
      <xdr:row>14</xdr:row>
      <xdr:rowOff>127000</xdr:rowOff>
    </xdr:to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9E98AA79-0CDC-7946-9A57-F58192DD83AE}"/>
            </a:ext>
          </a:extLst>
        </xdr:cNvPr>
        <xdr:cNvSpPr txBox="1"/>
      </xdr:nvSpPr>
      <xdr:spPr>
        <a:xfrm>
          <a:off x="13220700" y="22733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Abweichung Soll Anzahl NT stattgefunden</a:t>
          </a:r>
        </a:p>
      </xdr:txBody>
    </xdr:sp>
    <xdr:clientData/>
  </xdr:twoCellAnchor>
  <xdr:twoCellAnchor>
    <xdr:from>
      <xdr:col>3</xdr:col>
      <xdr:colOff>469900</xdr:colOff>
      <xdr:row>18</xdr:row>
      <xdr:rowOff>25400</xdr:rowOff>
    </xdr:from>
    <xdr:to>
      <xdr:col>7</xdr:col>
      <xdr:colOff>482600</xdr:colOff>
      <xdr:row>23</xdr:row>
      <xdr:rowOff>38100</xdr:rowOff>
    </xdr:to>
    <xdr:sp macro="" textlink="Data!C30">
      <xdr:nvSpPr>
        <xdr:cNvPr id="32" name="Abgerundetes Rechteck 31">
          <a:extLst>
            <a:ext uri="{FF2B5EF4-FFF2-40B4-BE49-F238E27FC236}">
              <a16:creationId xmlns:a16="http://schemas.microsoft.com/office/drawing/2014/main" id="{15022666-01E1-B545-B4CC-E6AD3B7CA208}"/>
            </a:ext>
          </a:extLst>
        </xdr:cNvPr>
        <xdr:cNvSpPr/>
      </xdr:nvSpPr>
      <xdr:spPr>
        <a:xfrm>
          <a:off x="2946400" y="345440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24091E96-3DD5-494C-8151-8BA00EFCD33C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57,89%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8</xdr:col>
      <xdr:colOff>457200</xdr:colOff>
      <xdr:row>18</xdr:row>
      <xdr:rowOff>25400</xdr:rowOff>
    </xdr:from>
    <xdr:to>
      <xdr:col>12</xdr:col>
      <xdr:colOff>469900</xdr:colOff>
      <xdr:row>23</xdr:row>
      <xdr:rowOff>38100</xdr:rowOff>
    </xdr:to>
    <xdr:sp macro="" textlink="Data!C31">
      <xdr:nvSpPr>
        <xdr:cNvPr id="33" name="Abgerundetes Rechteck 32">
          <a:extLst>
            <a:ext uri="{FF2B5EF4-FFF2-40B4-BE49-F238E27FC236}">
              <a16:creationId xmlns:a16="http://schemas.microsoft.com/office/drawing/2014/main" id="{0E0DCAF3-0558-FA43-86A2-1890E65B08CB}"/>
            </a:ext>
          </a:extLst>
        </xdr:cNvPr>
        <xdr:cNvSpPr/>
      </xdr:nvSpPr>
      <xdr:spPr>
        <a:xfrm>
          <a:off x="7061200" y="345440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692F9213-2923-5C43-8D5D-3958F62D32C0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18,18%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13</xdr:col>
      <xdr:colOff>444500</xdr:colOff>
      <xdr:row>18</xdr:row>
      <xdr:rowOff>25400</xdr:rowOff>
    </xdr:from>
    <xdr:to>
      <xdr:col>17</xdr:col>
      <xdr:colOff>457200</xdr:colOff>
      <xdr:row>23</xdr:row>
      <xdr:rowOff>38100</xdr:rowOff>
    </xdr:to>
    <xdr:sp macro="" textlink="Data!C32">
      <xdr:nvSpPr>
        <xdr:cNvPr id="34" name="Abgerundetes Rechteck 33">
          <a:extLst>
            <a:ext uri="{FF2B5EF4-FFF2-40B4-BE49-F238E27FC236}">
              <a16:creationId xmlns:a16="http://schemas.microsoft.com/office/drawing/2014/main" id="{7D3E3DE7-14E7-AD40-943E-67EDA111C502}"/>
            </a:ext>
          </a:extLst>
        </xdr:cNvPr>
        <xdr:cNvSpPr/>
      </xdr:nvSpPr>
      <xdr:spPr>
        <a:xfrm>
          <a:off x="11176000" y="3454400"/>
          <a:ext cx="33147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2BCF6FB7-D65D-954A-B7BE-49512A0AD488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#DIV/0!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3</xdr:col>
      <xdr:colOff>482600</xdr:colOff>
      <xdr:row>18</xdr:row>
      <xdr:rowOff>0</xdr:rowOff>
    </xdr:from>
    <xdr:to>
      <xdr:col>7</xdr:col>
      <xdr:colOff>482600</xdr:colOff>
      <xdr:row>20</xdr:row>
      <xdr:rowOff>139700</xdr:rowOff>
    </xdr:to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7683A684-B690-594B-A1CB-EE1662F285A3}"/>
            </a:ext>
          </a:extLst>
        </xdr:cNvPr>
        <xdr:cNvSpPr txBox="1"/>
      </xdr:nvSpPr>
      <xdr:spPr>
        <a:xfrm>
          <a:off x="2959100" y="34290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Konversionsrate S2 zu Einwertung</a:t>
          </a:r>
        </a:p>
      </xdr:txBody>
    </xdr:sp>
    <xdr:clientData/>
  </xdr:twoCellAnchor>
  <xdr:twoCellAnchor>
    <xdr:from>
      <xdr:col>8</xdr:col>
      <xdr:colOff>469900</xdr:colOff>
      <xdr:row>18</xdr:row>
      <xdr:rowOff>0</xdr:rowOff>
    </xdr:from>
    <xdr:to>
      <xdr:col>12</xdr:col>
      <xdr:colOff>469900</xdr:colOff>
      <xdr:row>20</xdr:row>
      <xdr:rowOff>139700</xdr:rowOff>
    </xdr:to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4011442D-0923-044C-AE3C-9B5964F93D6B}"/>
            </a:ext>
          </a:extLst>
        </xdr:cNvPr>
        <xdr:cNvSpPr txBox="1"/>
      </xdr:nvSpPr>
      <xdr:spPr>
        <a:xfrm>
          <a:off x="7073900" y="34290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Konversionsrate eingewertete Kunden zu stattgefundenen Notarterminen</a:t>
          </a:r>
        </a:p>
      </xdr:txBody>
    </xdr:sp>
    <xdr:clientData/>
  </xdr:twoCellAnchor>
  <xdr:twoCellAnchor>
    <xdr:from>
      <xdr:col>13</xdr:col>
      <xdr:colOff>457200</xdr:colOff>
      <xdr:row>18</xdr:row>
      <xdr:rowOff>0</xdr:rowOff>
    </xdr:from>
    <xdr:to>
      <xdr:col>17</xdr:col>
      <xdr:colOff>457200</xdr:colOff>
      <xdr:row>20</xdr:row>
      <xdr:rowOff>139700</xdr:rowOff>
    </xdr:to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59D96455-70A8-3543-85CE-6805E07853B5}"/>
            </a:ext>
          </a:extLst>
        </xdr:cNvPr>
        <xdr:cNvSpPr txBox="1"/>
      </xdr:nvSpPr>
      <xdr:spPr>
        <a:xfrm>
          <a:off x="11188700" y="3429000"/>
          <a:ext cx="33020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Konversionsrate Anmeldungen zu Teilnehmer BGA</a:t>
          </a:r>
        </a:p>
      </xdr:txBody>
    </xdr:sp>
    <xdr:clientData/>
  </xdr:twoCellAnchor>
  <xdr:twoCellAnchor>
    <xdr:from>
      <xdr:col>5</xdr:col>
      <xdr:colOff>812800</xdr:colOff>
      <xdr:row>25</xdr:row>
      <xdr:rowOff>76200</xdr:rowOff>
    </xdr:from>
    <xdr:to>
      <xdr:col>15</xdr:col>
      <xdr:colOff>50800</xdr:colOff>
      <xdr:row>42</xdr:row>
      <xdr:rowOff>76200</xdr:rowOff>
    </xdr:to>
    <xdr:graphicFrame macro="">
      <xdr:nvGraphicFramePr>
        <xdr:cNvPr id="38" name="Diagramm 37">
          <a:extLst>
            <a:ext uri="{FF2B5EF4-FFF2-40B4-BE49-F238E27FC236}">
              <a16:creationId xmlns:a16="http://schemas.microsoft.com/office/drawing/2014/main" id="{B0D81E06-D1BF-3F49-A304-43179325F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749300</xdr:colOff>
      <xdr:row>24</xdr:row>
      <xdr:rowOff>38100</xdr:rowOff>
    </xdr:from>
    <xdr:to>
      <xdr:col>20</xdr:col>
      <xdr:colOff>50800</xdr:colOff>
      <xdr:row>24</xdr:row>
      <xdr:rowOff>38100</xdr:rowOff>
    </xdr:to>
    <xdr:cxnSp macro="">
      <xdr:nvCxnSpPr>
        <xdr:cNvPr id="39" name="Gerade Verbindung 38">
          <a:extLst>
            <a:ext uri="{FF2B5EF4-FFF2-40B4-BE49-F238E27FC236}">
              <a16:creationId xmlns:a16="http://schemas.microsoft.com/office/drawing/2014/main" id="{4D3CE2A9-FEDD-874A-B841-C481DA77DD87}"/>
            </a:ext>
          </a:extLst>
        </xdr:cNvPr>
        <xdr:cNvCxnSpPr/>
      </xdr:nvCxnSpPr>
      <xdr:spPr>
        <a:xfrm>
          <a:off x="749300" y="4610100"/>
          <a:ext cx="15811500" cy="0"/>
        </a:xfrm>
        <a:prstGeom prst="line">
          <a:avLst/>
        </a:prstGeom>
        <a:ln w="317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510540</xdr:colOff>
      <xdr:row>4</xdr:row>
      <xdr:rowOff>177800</xdr:rowOff>
    </xdr:from>
    <xdr:to>
      <xdr:col>13</xdr:col>
      <xdr:colOff>497840</xdr:colOff>
      <xdr:row>10</xdr:row>
      <xdr:rowOff>0</xdr:rowOff>
    </xdr:to>
    <xdr:sp macro="" textlink="Data!R17">
      <xdr:nvSpPr>
        <xdr:cNvPr id="14" name="Abgerundetes Rechteck 13">
          <a:extLst>
            <a:ext uri="{FF2B5EF4-FFF2-40B4-BE49-F238E27FC236}">
              <a16:creationId xmlns:a16="http://schemas.microsoft.com/office/drawing/2014/main" id="{865B9BA8-5F44-574E-A595-7C23C4541835}"/>
            </a:ext>
          </a:extLst>
        </xdr:cNvPr>
        <xdr:cNvSpPr/>
      </xdr:nvSpPr>
      <xdr:spPr>
        <a:xfrm>
          <a:off x="8765540" y="939800"/>
          <a:ext cx="2463800" cy="965200"/>
        </a:xfrm>
        <a:prstGeom prst="roundRect">
          <a:avLst/>
        </a:prstGeom>
        <a:solidFill>
          <a:srgbClr val="3F867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260B081-A1B1-3F41-AB7D-F7FE5407745B}" type="TxLink">
            <a:rPr lang="en-US" sz="2800" b="1" i="0" u="none" strike="noStrike" kern="1200">
              <a:solidFill>
                <a:schemeClr val="bg1"/>
              </a:solidFill>
              <a:latin typeface="Poppins" pitchFamily="2" charset="77"/>
              <a:ea typeface="+mn-ea"/>
              <a:cs typeface="Poppins" pitchFamily="2" charset="77"/>
            </a:rPr>
            <a:pPr marL="0" indent="0" algn="ctr"/>
            <a:t>0</a:t>
          </a:fld>
          <a:endParaRPr lang="de-DE" sz="2800" b="1" i="0" u="none" strike="noStrike" kern="1200">
            <a:solidFill>
              <a:schemeClr val="bg1"/>
            </a:solidFill>
            <a:latin typeface="Poppins" pitchFamily="2" charset="77"/>
            <a:ea typeface="+mn-ea"/>
            <a:cs typeface="Poppins" pitchFamily="2" charset="77"/>
          </a:endParaRPr>
        </a:p>
      </xdr:txBody>
    </xdr:sp>
    <xdr:clientData/>
  </xdr:twoCellAnchor>
  <xdr:twoCellAnchor>
    <xdr:from>
      <xdr:col>10</xdr:col>
      <xdr:colOff>520700</xdr:colOff>
      <xdr:row>5</xdr:row>
      <xdr:rowOff>114300</xdr:rowOff>
    </xdr:from>
    <xdr:to>
      <xdr:col>13</xdr:col>
      <xdr:colOff>520700</xdr:colOff>
      <xdr:row>7</xdr:row>
      <xdr:rowOff>0</xdr:rowOff>
    </xdr:to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44A1A95D-FD43-3542-81BA-26821465067F}"/>
            </a:ext>
          </a:extLst>
        </xdr:cNvPr>
        <xdr:cNvSpPr txBox="1"/>
      </xdr:nvSpPr>
      <xdr:spPr>
        <a:xfrm>
          <a:off x="8775700" y="1066800"/>
          <a:ext cx="2476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0" kern="1200">
              <a:solidFill>
                <a:schemeClr val="bg1"/>
              </a:solidFill>
            </a:rPr>
            <a:t>BGA Teilnehmer letzter</a:t>
          </a:r>
          <a:r>
            <a:rPr lang="de-DE" sz="1200" b="0" kern="1200" baseline="0">
              <a:solidFill>
                <a:schemeClr val="bg1"/>
              </a:solidFill>
            </a:rPr>
            <a:t> Monat</a:t>
          </a:r>
          <a:r>
            <a:rPr lang="de-DE" sz="1200" b="0" kern="12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15</xdr:col>
      <xdr:colOff>393202</xdr:colOff>
      <xdr:row>4</xdr:row>
      <xdr:rowOff>106048</xdr:rowOff>
    </xdr:from>
    <xdr:to>
      <xdr:col>16</xdr:col>
      <xdr:colOff>749299</xdr:colOff>
      <xdr:row>10</xdr:row>
      <xdr:rowOff>50800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7D1C9D96-D111-B145-AE43-DC724DE9F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520700</xdr:colOff>
      <xdr:row>4</xdr:row>
      <xdr:rowOff>127000</xdr:rowOff>
    </xdr:from>
    <xdr:to>
      <xdr:col>20</xdr:col>
      <xdr:colOff>51297</xdr:colOff>
      <xdr:row>10</xdr:row>
      <xdr:rowOff>71752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C5966AE3-9534-EC48-A42E-6482BCC7F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7D690-817F-4879-BEAD-FAC17684BA03}" name="Tabelle1" displayName="Tabelle1" ref="A1:P28" totalsRowShown="0" headerRowDxfId="6">
  <tableColumns count="16">
    <tableColumn id="1" xr3:uid="{DCCBAA8C-2C12-4A57-B88E-3C90DE6067EB}" name="KPIs"/>
    <tableColumn id="7" xr3:uid="{CB9BBFB5-E3A0-4B44-A91B-7AAEF124B5A9}" name="Soll"/>
    <tableColumn id="20" xr3:uid="{E66BBF90-E3E6-1848-9483-7B76B9045D6C}" name="Mittelwert" dataDxfId="5">
      <calculatedColumnFormula>SUM(Tabelle1[[#This Row],[Jan]:[Dez]])/12</calculatedColumnFormula>
    </tableColumn>
    <tableColumn id="8" xr3:uid="{2878CBEB-1F69-654F-8208-105E44791778}" name="Abweichung" dataDxfId="4"/>
    <tableColumn id="21" xr3:uid="{0F088B88-D42D-654A-8E51-381FA53C5A72}" name="Jan"/>
    <tableColumn id="23" xr3:uid="{CEF22250-22FC-B74D-A837-D2A9613EBA82}" name="Feb"/>
    <tableColumn id="24" xr3:uid="{382194C0-55FB-094A-ACFC-2F1CB15F6679}" name="Mär" dataDxfId="3"/>
    <tableColumn id="25" xr3:uid="{907BCF40-CEC8-3242-BAF3-C5AE8FCD0AD4}" name="Apr" dataDxfId="2"/>
    <tableColumn id="26" xr3:uid="{1AFBEE09-DAB9-6247-8490-BA720AB17514}" name="Mai"/>
    <tableColumn id="27" xr3:uid="{A4825591-E04A-D746-AD72-8AB12FC7A8DF}" name="Jun" dataDxfId="1"/>
    <tableColumn id="28" xr3:uid="{B80EF920-2BF5-D545-B605-F70F2CD2F616}" name="Jul"/>
    <tableColumn id="29" xr3:uid="{29E72642-13AE-2144-9B90-43A976FCA19A}" name="Aug"/>
    <tableColumn id="2" xr3:uid="{D2B9A075-72CF-4248-BCD2-43BB79B13AD5}" name="Sep" dataDxfId="0"/>
    <tableColumn id="3" xr3:uid="{EE6356A8-3A39-48E8-B4B5-9B08B19F388C}" name="Okt"/>
    <tableColumn id="4" xr3:uid="{AC0A527E-E52C-4B8E-AFBD-498101C03905}" name="Nov"/>
    <tableColumn id="5" xr3:uid="{5EDD6D38-A025-4941-ABA8-A10F35AA4BEC}" name="Dez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E90C-8645-4F57-8267-E7045EACD9EA}">
  <dimension ref="A1:T32"/>
  <sheetViews>
    <sheetView tabSelected="1" zoomScale="131" zoomScaleNormal="125" workbookViewId="0">
      <selection activeCell="P25" sqref="H19:P25"/>
    </sheetView>
  </sheetViews>
  <sheetFormatPr baseColWidth="10" defaultColWidth="100.83203125" defaultRowHeight="15"/>
  <cols>
    <col min="1" max="1" width="58.6640625" customWidth="1"/>
    <col min="2" max="2" width="4.1640625" bestFit="1" customWidth="1"/>
    <col min="3" max="3" width="11.6640625" bestFit="1" customWidth="1"/>
    <col min="4" max="4" width="11.5" style="24" customWidth="1"/>
    <col min="5" max="6" width="4.1640625" bestFit="1" customWidth="1"/>
    <col min="7" max="7" width="4.33203125" style="10" bestFit="1" customWidth="1"/>
    <col min="8" max="8" width="4" bestFit="1" customWidth="1"/>
    <col min="9" max="9" width="4.1640625" bestFit="1" customWidth="1"/>
    <col min="10" max="10" width="3.83203125" style="10" bestFit="1" customWidth="1"/>
    <col min="11" max="11" width="4.1640625" bestFit="1" customWidth="1"/>
    <col min="12" max="12" width="5.1640625" bestFit="1" customWidth="1"/>
    <col min="13" max="13" width="4.1640625" style="10" bestFit="1" customWidth="1"/>
    <col min="14" max="14" width="4.1640625" bestFit="1" customWidth="1"/>
    <col min="15" max="15" width="4.33203125" bestFit="1" customWidth="1"/>
    <col min="16" max="16" width="4.1640625" bestFit="1" customWidth="1"/>
    <col min="17" max="17" width="11.5" style="29" customWidth="1"/>
    <col min="18" max="18" width="12" customWidth="1"/>
    <col min="19" max="19" width="14.1640625" customWidth="1"/>
    <col min="20" max="20" width="16.5" customWidth="1"/>
  </cols>
  <sheetData>
    <row r="1" spans="1:20" ht="29" customHeight="1">
      <c r="A1" s="1" t="s">
        <v>11</v>
      </c>
      <c r="B1" s="1" t="s">
        <v>14</v>
      </c>
      <c r="C1" s="1" t="s">
        <v>32</v>
      </c>
      <c r="D1" s="1" t="s">
        <v>42</v>
      </c>
      <c r="E1" s="1" t="s">
        <v>25</v>
      </c>
      <c r="F1" s="1" t="s">
        <v>26</v>
      </c>
      <c r="G1" s="9" t="s">
        <v>27</v>
      </c>
      <c r="H1" s="1" t="s">
        <v>28</v>
      </c>
      <c r="I1" s="1" t="s">
        <v>15</v>
      </c>
      <c r="J1" s="9" t="s">
        <v>29</v>
      </c>
      <c r="K1" s="1" t="s">
        <v>30</v>
      </c>
      <c r="L1" s="1" t="s">
        <v>31</v>
      </c>
      <c r="M1" s="12" t="s">
        <v>21</v>
      </c>
      <c r="N1" s="2" t="s">
        <v>22</v>
      </c>
      <c r="O1" s="8" t="s">
        <v>23</v>
      </c>
      <c r="P1" s="2" t="s">
        <v>24</v>
      </c>
      <c r="Q1" s="26" t="s">
        <v>45</v>
      </c>
      <c r="R1" s="30" t="s">
        <v>43</v>
      </c>
      <c r="S1" s="30" t="s">
        <v>44</v>
      </c>
      <c r="T1" t="s">
        <v>46</v>
      </c>
    </row>
    <row r="2" spans="1:20">
      <c r="A2" s="3" t="s">
        <v>8</v>
      </c>
      <c r="B2" s="6"/>
      <c r="C2" s="6"/>
      <c r="D2" s="21"/>
      <c r="E2" s="6"/>
      <c r="F2" s="6"/>
      <c r="G2" s="11"/>
      <c r="H2" s="6"/>
      <c r="I2" s="6"/>
      <c r="J2" s="11"/>
      <c r="K2" s="6"/>
      <c r="L2" s="6"/>
      <c r="M2" s="11"/>
      <c r="N2" s="6"/>
      <c r="O2" s="6"/>
      <c r="P2" s="6"/>
      <c r="Q2" s="27"/>
      <c r="R2" s="27"/>
      <c r="S2" s="27"/>
    </row>
    <row r="3" spans="1:20">
      <c r="A3" t="s">
        <v>40</v>
      </c>
      <c r="C3" s="16">
        <f>AVERAGEIF(Tabelle1[[#This Row],[Jan]:[Dez]],"&lt;&gt;")</f>
        <v>5</v>
      </c>
      <c r="D3" s="22" t="str">
        <f>IFERROR(Tabelle1[[#This Row],[Mittelwert]]/Tabelle1[[#This Row],[Soll]]-1, "")</f>
        <v/>
      </c>
      <c r="E3">
        <v>2</v>
      </c>
      <c r="F3">
        <v>8</v>
      </c>
      <c r="Q3" s="27"/>
      <c r="R3" s="27"/>
      <c r="S3" s="27"/>
    </row>
    <row r="4" spans="1:20" ht="18">
      <c r="A4" t="s">
        <v>39</v>
      </c>
      <c r="C4" s="16">
        <f>AVERAGEIF(Tabelle1[[#This Row],[Jan]:[Dez]],"&lt;&gt;")</f>
        <v>14.5</v>
      </c>
      <c r="D4" s="23"/>
      <c r="E4">
        <v>20</v>
      </c>
      <c r="F4">
        <v>9</v>
      </c>
      <c r="Q4" s="28"/>
      <c r="R4" s="27"/>
      <c r="S4" s="27"/>
    </row>
    <row r="5" spans="1:20">
      <c r="A5" s="7" t="s">
        <v>19</v>
      </c>
      <c r="B5" s="7">
        <v>30</v>
      </c>
      <c r="C5" s="16">
        <f>AVERAGEIF(Tabelle1[[#This Row],[Jan]:[Dez]],"&lt;&gt;")</f>
        <v>21</v>
      </c>
      <c r="D5" s="22">
        <f>IFERROR(Tabelle1[[#This Row],[Mittelwert]]/Tabelle1[[#This Row],[Soll]]-1, "")</f>
        <v>-0.30000000000000004</v>
      </c>
      <c r="E5">
        <v>24</v>
      </c>
      <c r="F5">
        <v>18</v>
      </c>
      <c r="Q5" s="27">
        <f>SUM(Tabelle1[[#This Row],[Jan]:[Dez]])</f>
        <v>42</v>
      </c>
      <c r="R5" s="27"/>
      <c r="S5" s="27"/>
    </row>
    <row r="6" spans="1:20">
      <c r="A6" t="s">
        <v>2</v>
      </c>
      <c r="C6" s="16">
        <f>AVERAGEIF(Tabelle1[[#This Row],[Jan]:[Dez]],"&lt;&gt;")</f>
        <v>6.5</v>
      </c>
      <c r="D6" s="22" t="str">
        <f>IFERROR(Tabelle1[[#This Row],[Mittelwert]]/Tabelle1[[#This Row],[Soll]]-1, "")</f>
        <v/>
      </c>
      <c r="E6">
        <v>1</v>
      </c>
      <c r="F6">
        <v>12</v>
      </c>
      <c r="Q6" s="27"/>
      <c r="R6" s="27"/>
      <c r="S6" s="27"/>
    </row>
    <row r="7" spans="1:20">
      <c r="A7" s="7" t="s">
        <v>20</v>
      </c>
      <c r="B7" s="7">
        <v>8</v>
      </c>
      <c r="C7" s="16">
        <f>AVERAGEIF(Tabelle1[[#This Row],[Jan]:[Dez]],"&lt;&gt;")</f>
        <v>5.5</v>
      </c>
      <c r="D7" s="22">
        <f>IFERROR(Tabelle1[[#This Row],[Mittelwert]]/Tabelle1[[#This Row],[Soll]]-1, "")</f>
        <v>-0.3125</v>
      </c>
      <c r="E7">
        <v>2</v>
      </c>
      <c r="F7">
        <v>9</v>
      </c>
      <c r="Q7" s="27">
        <f>SUM(Tabelle1[[#This Row],[Jan]:[Dez]])</f>
        <v>11</v>
      </c>
      <c r="R7" s="27"/>
      <c r="S7" s="27"/>
    </row>
    <row r="8" spans="1:20">
      <c r="A8" t="s">
        <v>38</v>
      </c>
      <c r="C8" s="16">
        <f>AVERAGEIF(Tabelle1[[#This Row],[Jan]:[Dez]],"&lt;&gt;")</f>
        <v>0</v>
      </c>
      <c r="D8" s="22" t="str">
        <f>IFERROR(Tabelle1[[#This Row],[Mittelwert]]/Tabelle1[[#This Row],[Soll]]-1, "")</f>
        <v/>
      </c>
      <c r="E8">
        <v>0</v>
      </c>
      <c r="F8">
        <v>0</v>
      </c>
      <c r="H8" s="20"/>
      <c r="Q8" s="27"/>
      <c r="R8" s="27"/>
      <c r="S8" s="27"/>
    </row>
    <row r="9" spans="1:20">
      <c r="A9" t="s">
        <v>41</v>
      </c>
      <c r="C9" s="16">
        <f>AVERAGEIF(Tabelle1[[#This Row],[Jan]:[Dez]],"&lt;&gt;")</f>
        <v>98</v>
      </c>
      <c r="D9" s="22"/>
      <c r="E9">
        <v>95</v>
      </c>
      <c r="F9">
        <v>101</v>
      </c>
      <c r="Q9" s="27"/>
      <c r="R9" s="27">
        <f>LOOKUP(100000000,Tabelle1[[#This Row],[Jan]:[Dez]])</f>
        <v>101</v>
      </c>
      <c r="S9" s="27"/>
    </row>
    <row r="10" spans="1:20">
      <c r="D10" s="23"/>
      <c r="Q10" s="27"/>
      <c r="R10" s="27"/>
      <c r="S10" s="27"/>
    </row>
    <row r="11" spans="1:20">
      <c r="A11" s="3" t="s">
        <v>9</v>
      </c>
      <c r="B11" s="6"/>
      <c r="C11" s="19"/>
      <c r="D11" s="21"/>
      <c r="E11" s="6"/>
      <c r="F11" s="6"/>
      <c r="G11" s="11"/>
      <c r="H11" s="6"/>
      <c r="I11" s="6"/>
      <c r="J11" s="11"/>
      <c r="K11" s="6"/>
      <c r="L11" s="6"/>
      <c r="M11" s="11"/>
      <c r="N11" s="6"/>
      <c r="O11" s="6"/>
      <c r="P11" s="6"/>
      <c r="Q11" s="27"/>
      <c r="R11" s="27"/>
      <c r="S11" s="27"/>
    </row>
    <row r="12" spans="1:20">
      <c r="A12" t="s">
        <v>5</v>
      </c>
      <c r="C12" s="16">
        <f>AVERAGEIF(Tabelle1[[#This Row],[Jan]:[Dez]],"&lt;&gt;")</f>
        <v>0</v>
      </c>
      <c r="D12" s="22" t="str">
        <f>IFERROR(Tabelle1[[#This Row],[Mittelwert]]/Tabelle1[[#This Row],[Soll]]-1, "")</f>
        <v/>
      </c>
      <c r="E12">
        <v>0</v>
      </c>
      <c r="F12">
        <v>0</v>
      </c>
      <c r="Q12" s="27"/>
      <c r="R12" s="27"/>
      <c r="S12" s="27"/>
    </row>
    <row r="13" spans="1:20">
      <c r="A13" t="s">
        <v>6</v>
      </c>
      <c r="C13" s="16">
        <f>AVERAGEIF(Tabelle1[[#This Row],[Jan]:[Dez]],"&lt;&gt;")</f>
        <v>0</v>
      </c>
      <c r="D13" s="22" t="str">
        <f>IFERROR(Tabelle1[[#This Row],[Mittelwert]]/Tabelle1[[#This Row],[Soll]]-1, "")</f>
        <v/>
      </c>
      <c r="E13">
        <v>0</v>
      </c>
      <c r="F13">
        <v>0</v>
      </c>
      <c r="Q13" s="27"/>
      <c r="R13" s="27"/>
      <c r="S13" s="27"/>
    </row>
    <row r="14" spans="1:20">
      <c r="A14" t="s">
        <v>4</v>
      </c>
      <c r="C14" s="16">
        <f>AVERAGEIF(Tabelle1[[#This Row],[Jan]:[Dez]],"&lt;&gt;")</f>
        <v>0</v>
      </c>
      <c r="D14" s="22" t="str">
        <f>IFERROR(Tabelle1[[#This Row],[Mittelwert]]/Tabelle1[[#This Row],[Soll]]-1, "")</f>
        <v/>
      </c>
      <c r="E14">
        <v>0</v>
      </c>
      <c r="F14">
        <v>0</v>
      </c>
      <c r="Q14" s="27"/>
      <c r="R14" s="27"/>
      <c r="S14" s="27"/>
    </row>
    <row r="15" spans="1:20">
      <c r="A15" t="s">
        <v>12</v>
      </c>
      <c r="C15" s="16">
        <f>AVERAGEIF(Tabelle1[[#This Row],[Jan]:[Dez]],"&lt;&gt;")</f>
        <v>0</v>
      </c>
      <c r="D15" s="22" t="str">
        <f>IFERROR(Tabelle1[[#This Row],[Mittelwert]]/Tabelle1[[#This Row],[Soll]]-1, "")</f>
        <v/>
      </c>
      <c r="E15">
        <v>0</v>
      </c>
      <c r="F15">
        <v>0</v>
      </c>
      <c r="Q15" s="27"/>
      <c r="R15" s="27"/>
      <c r="S15" s="27"/>
    </row>
    <row r="16" spans="1:20">
      <c r="A16" s="15" t="s">
        <v>34</v>
      </c>
      <c r="B16" s="15"/>
      <c r="C16" s="16">
        <f>AVERAGEIF(Tabelle1[[#This Row],[Jan]:[Dez]],"&lt;&gt;")</f>
        <v>0</v>
      </c>
      <c r="D16" s="22" t="str">
        <f>IFERROR(Tabelle1[[#This Row],[Mittelwert]]/Tabelle1[[#This Row],[Soll]]-1, "")</f>
        <v/>
      </c>
      <c r="E16" s="15">
        <v>0</v>
      </c>
      <c r="F16" s="15">
        <v>0</v>
      </c>
      <c r="G16" s="17"/>
      <c r="H16" s="18"/>
      <c r="I16" s="15"/>
      <c r="J16" s="17"/>
      <c r="K16" s="15"/>
      <c r="L16" s="15"/>
      <c r="M16" s="17"/>
      <c r="N16" s="15"/>
      <c r="O16" s="15"/>
      <c r="P16" s="15"/>
      <c r="Q16" s="27"/>
      <c r="R16" s="27"/>
      <c r="S16" s="27"/>
    </row>
    <row r="17" spans="1:20">
      <c r="A17" s="15" t="s">
        <v>33</v>
      </c>
      <c r="B17" s="15"/>
      <c r="C17" s="16">
        <f>AVERAGEIF(Tabelle1[[#This Row],[Jan]:[Dez]],"&lt;&gt;")</f>
        <v>0</v>
      </c>
      <c r="D17" s="22" t="str">
        <f>IFERROR(Tabelle1[[#This Row],[Mittelwert]]/Tabelle1[[#This Row],[Soll]]-1, "")</f>
        <v/>
      </c>
      <c r="E17" s="15">
        <v>0</v>
      </c>
      <c r="F17" s="15">
        <v>0</v>
      </c>
      <c r="G17" s="17"/>
      <c r="H17" s="15"/>
      <c r="I17" s="15"/>
      <c r="J17" s="17"/>
      <c r="K17" s="15"/>
      <c r="L17" s="15"/>
      <c r="M17" s="17"/>
      <c r="N17" s="15"/>
      <c r="O17" s="15"/>
      <c r="P17" s="15"/>
      <c r="Q17" s="27">
        <f>SUM(Tabelle1[[#This Row],[Jan]:[Dez]])</f>
        <v>0</v>
      </c>
      <c r="R17" s="27">
        <f>LOOKUP(100000000,Tabelle1[[#This Row],[Jan]:[Dez]])</f>
        <v>0</v>
      </c>
      <c r="S17" s="27"/>
    </row>
    <row r="18" spans="1:20" ht="16">
      <c r="A18" s="3" t="s">
        <v>7</v>
      </c>
      <c r="B18" s="6"/>
      <c r="C18" s="19"/>
      <c r="D18" s="21"/>
      <c r="E18" s="6"/>
      <c r="F18" s="6"/>
      <c r="G18" s="11"/>
      <c r="H18" s="6"/>
      <c r="I18" s="6"/>
      <c r="J18" s="11"/>
      <c r="K18" s="6"/>
      <c r="L18" s="6"/>
      <c r="M18" s="13"/>
      <c r="N18" s="5"/>
      <c r="O18" s="4"/>
      <c r="P18" s="3"/>
      <c r="Q18" s="27"/>
      <c r="R18" s="27"/>
      <c r="S18" s="27"/>
    </row>
    <row r="19" spans="1:20">
      <c r="A19" s="7" t="s">
        <v>0</v>
      </c>
      <c r="B19" s="7">
        <v>10</v>
      </c>
      <c r="C19" s="16">
        <f>AVERAGEIF(Tabelle1[[#This Row],[Jan]:[Dez]],"&lt;&gt;")</f>
        <v>9.5</v>
      </c>
      <c r="D19" s="22">
        <f>IFERROR(Tabelle1[[#This Row],[Mittelwert]]/Tabelle1[[#This Row],[Soll]]-1, "")</f>
        <v>-5.0000000000000044E-2</v>
      </c>
      <c r="E19">
        <v>3</v>
      </c>
      <c r="F19">
        <v>16</v>
      </c>
      <c r="Q19" s="27">
        <f>SUM(Tabelle1[[#This Row],[Jan]:[Dez]])</f>
        <v>19</v>
      </c>
      <c r="R19" s="27"/>
      <c r="S19" s="27">
        <f>12*Tabelle1[[#This Row],[Soll]]</f>
        <v>120</v>
      </c>
      <c r="T19">
        <f>S19-Q19</f>
        <v>101</v>
      </c>
    </row>
    <row r="20" spans="1:20">
      <c r="A20" t="s">
        <v>1</v>
      </c>
      <c r="B20">
        <v>2</v>
      </c>
      <c r="C20" s="16">
        <f>AVERAGEIF(Tabelle1[[#This Row],[Jan]:[Dez]],"&lt;&gt;")</f>
        <v>1</v>
      </c>
      <c r="D20" s="22">
        <f>IFERROR(Tabelle1[[#This Row],[Mittelwert]]/Tabelle1[[#This Row],[Soll]]-1, "")</f>
        <v>-0.5</v>
      </c>
      <c r="E20">
        <v>0</v>
      </c>
      <c r="F20">
        <v>2</v>
      </c>
      <c r="Q20" s="27"/>
      <c r="R20" s="27"/>
      <c r="S20" s="27"/>
    </row>
    <row r="21" spans="1:20">
      <c r="A21" t="s">
        <v>16</v>
      </c>
      <c r="B21">
        <v>0</v>
      </c>
      <c r="C21" s="16">
        <f>AVERAGEIF(Tabelle1[[#This Row],[Jan]:[Dez]],"&lt;&gt;")</f>
        <v>0</v>
      </c>
      <c r="D21" s="22" t="str">
        <f>IFERROR(Tabelle1[[#This Row],[Mittelwert]]/Tabelle1[[#This Row],[Soll]]-1, "")</f>
        <v/>
      </c>
      <c r="E21">
        <v>0</v>
      </c>
      <c r="F21">
        <v>0</v>
      </c>
      <c r="Q21" s="27"/>
      <c r="R21" s="27"/>
      <c r="S21" s="27"/>
    </row>
    <row r="22" spans="1:20">
      <c r="A22" t="s">
        <v>17</v>
      </c>
      <c r="B22">
        <v>0</v>
      </c>
      <c r="C22" s="16">
        <f>AVERAGEIF(Tabelle1[[#This Row],[Jan]:[Dez]],"&lt;&gt;")</f>
        <v>0</v>
      </c>
      <c r="D22" s="22" t="str">
        <f>IFERROR(Tabelle1[[#This Row],[Mittelwert]]/Tabelle1[[#This Row],[Soll]]-1, "")</f>
        <v/>
      </c>
      <c r="E22">
        <v>0</v>
      </c>
      <c r="F22">
        <v>0</v>
      </c>
      <c r="Q22" s="27"/>
      <c r="R22" s="27"/>
      <c r="S22" s="27"/>
    </row>
    <row r="23" spans="1:20">
      <c r="A23" t="s">
        <v>13</v>
      </c>
      <c r="B23">
        <v>2</v>
      </c>
      <c r="C23" s="16">
        <f>AVERAGEIF(Tabelle1[[#This Row],[Jan]:[Dez]],"&lt;&gt;")</f>
        <v>1.5</v>
      </c>
      <c r="D23" s="22">
        <f>IFERROR(Tabelle1[[#This Row],[Mittelwert]]/Tabelle1[[#This Row],[Soll]]-1, "")</f>
        <v>-0.25</v>
      </c>
      <c r="E23">
        <v>0</v>
      </c>
      <c r="F23">
        <v>3</v>
      </c>
      <c r="Q23" s="27"/>
      <c r="R23" s="27"/>
      <c r="S23" s="27"/>
    </row>
    <row r="24" spans="1:20">
      <c r="A24" s="7" t="s">
        <v>18</v>
      </c>
      <c r="B24" s="7">
        <v>2</v>
      </c>
      <c r="C24" s="16">
        <f>AVERAGEIF(Tabelle1[[#This Row],[Jan]:[Dez]],"&lt;&gt;")</f>
        <v>1</v>
      </c>
      <c r="D24" s="22">
        <f>IFERROR(Tabelle1[[#This Row],[Mittelwert]]/Tabelle1[[#This Row],[Soll]]-1, "")</f>
        <v>-0.5</v>
      </c>
      <c r="E24">
        <v>1</v>
      </c>
      <c r="F24">
        <v>1</v>
      </c>
      <c r="Q24" s="27">
        <f>SUM(Tabelle1[[#This Row],[Jan]:[Dez]])</f>
        <v>2</v>
      </c>
      <c r="R24" s="27"/>
      <c r="S24" s="27">
        <f>12*Tabelle1[[#This Row],[Soll]]</f>
        <v>24</v>
      </c>
      <c r="T24">
        <f>S24-Q24</f>
        <v>22</v>
      </c>
    </row>
    <row r="25" spans="1:20">
      <c r="D25" s="23"/>
      <c r="Q25" s="27"/>
      <c r="R25" s="27"/>
      <c r="S25" s="27"/>
    </row>
    <row r="26" spans="1:20">
      <c r="A26" s="3" t="s">
        <v>10</v>
      </c>
      <c r="B26" s="6"/>
      <c r="C26" s="19"/>
      <c r="D26" s="21"/>
      <c r="E26" s="6"/>
      <c r="F26" s="6"/>
      <c r="G26" s="11"/>
      <c r="H26" s="6"/>
      <c r="I26" s="6"/>
      <c r="J26" s="11"/>
      <c r="K26" s="6"/>
      <c r="L26" s="6"/>
      <c r="M26" s="11"/>
      <c r="N26" s="6"/>
      <c r="O26" s="6"/>
      <c r="P26" s="6"/>
      <c r="Q26" s="27"/>
      <c r="R26" s="27"/>
      <c r="S26" s="27"/>
    </row>
    <row r="27" spans="1:20">
      <c r="A27" t="s">
        <v>3</v>
      </c>
      <c r="B27">
        <v>5</v>
      </c>
      <c r="C27" s="16">
        <f>AVERAGEIF(Tabelle1[[#This Row],[Jan]:[Dez]],"&lt;&gt;")</f>
        <v>4</v>
      </c>
      <c r="D27" s="22">
        <f>IFERROR(Tabelle1[[#This Row],[Mittelwert]]/Tabelle1[[#This Row],[Soll]]-1, "")</f>
        <v>-0.19999999999999996</v>
      </c>
      <c r="E27">
        <v>5</v>
      </c>
      <c r="F27">
        <v>3</v>
      </c>
      <c r="Q27" s="27"/>
      <c r="R27" s="27"/>
      <c r="S27" s="27"/>
    </row>
    <row r="28" spans="1:20">
      <c r="D28" s="23"/>
      <c r="H28" s="20"/>
      <c r="Q28" s="27"/>
      <c r="R28" s="27"/>
      <c r="S28" s="27"/>
    </row>
    <row r="29" spans="1:20">
      <c r="Q29" s="27"/>
      <c r="S29" s="27"/>
    </row>
    <row r="30" spans="1:20">
      <c r="A30" s="15" t="s">
        <v>37</v>
      </c>
      <c r="B30" s="15"/>
      <c r="C30" s="14">
        <f>C7/C19</f>
        <v>0.57894736842105265</v>
      </c>
      <c r="D30" s="25"/>
      <c r="Q30" s="27"/>
    </row>
    <row r="31" spans="1:20">
      <c r="A31" s="15" t="s">
        <v>35</v>
      </c>
      <c r="B31" s="15"/>
      <c r="C31" s="14">
        <f>C24/C7</f>
        <v>0.18181818181818182</v>
      </c>
      <c r="D31" s="25"/>
      <c r="Q31" s="27"/>
    </row>
    <row r="32" spans="1:20">
      <c r="A32" s="15" t="s">
        <v>36</v>
      </c>
      <c r="B32" s="15"/>
      <c r="C32" s="14" t="e">
        <f>C17/C16</f>
        <v>#DIV/0!</v>
      </c>
      <c r="D32" s="25"/>
      <c r="Q32" s="27"/>
    </row>
  </sheetData>
  <phoneticPr fontId="3" type="noConversion"/>
  <pageMargins left="0.7" right="0.7" top="0.78740157499999996" bottom="0.78740157499999996" header="0.3" footer="0.3"/>
  <pageSetup paperSize="9" orientation="portrait" horizontalDpi="0" verticalDpi="0"/>
  <ignoredErrors>
    <ignoredError sqref="C3:C4 C17 C27 C12:C16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FC0B-9B06-8247-894A-012E778DF683}">
  <dimension ref="A1"/>
  <sheetViews>
    <sheetView showGridLines="0" workbookViewId="0">
      <selection activeCell="C48" sqref="C48"/>
    </sheetView>
  </sheetViews>
  <sheetFormatPr baseColWidth="10" defaultRowHeight="1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Hohn</dc:creator>
  <cp:lastModifiedBy>Fabian Wecking</cp:lastModifiedBy>
  <dcterms:created xsi:type="dcterms:W3CDTF">2024-09-30T12:02:54Z</dcterms:created>
  <dcterms:modified xsi:type="dcterms:W3CDTF">2026-02-20T10:58:31Z</dcterms:modified>
</cp:coreProperties>
</file>