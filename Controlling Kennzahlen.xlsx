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bianWecking/Documents/Privat/Controlling Business/"/>
    </mc:Choice>
  </mc:AlternateContent>
  <xr:revisionPtr revIDLastSave="0" documentId="13_ncr:1_{BE50EA00-BE4C-0640-B5A4-AEFF8521A5C9}" xr6:coauthVersionLast="47" xr6:coauthVersionMax="47" xr10:uidLastSave="{00000000-0000-0000-0000-000000000000}"/>
  <bookViews>
    <workbookView xWindow="-32320" yWindow="-1320" windowWidth="28240" windowHeight="16020" activeTab="2" xr2:uid="{87D79076-FDB6-124B-AAF1-B79507A9761E}"/>
  </bookViews>
  <sheets>
    <sheet name="Zahlen 2023" sheetId="1" r:id="rId1"/>
    <sheet name="März 2024" sheetId="6" r:id="rId2"/>
    <sheet name="April 2024" sheetId="8" r:id="rId3"/>
    <sheet name="Februar 2024" sheetId="5" r:id="rId4"/>
    <sheet name="Januar 2024" sheetId="3" r:id="rId5"/>
    <sheet name="Tabelle4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9" i="1" s="1"/>
  <c r="B10" i="1"/>
</calcChain>
</file>

<file path=xl/sharedStrings.xml><?xml version="1.0" encoding="utf-8"?>
<sst xmlns="http://schemas.openxmlformats.org/spreadsheetml/2006/main" count="45" uniqueCount="28">
  <si>
    <t>Eingereichtes Volumen</t>
  </si>
  <si>
    <t>Anzahl Beratener Kunden</t>
  </si>
  <si>
    <t>KAI Termine stattgefunden</t>
  </si>
  <si>
    <t>Notartermine stattgefunden</t>
  </si>
  <si>
    <t>Volumen KAI</t>
  </si>
  <si>
    <t>Einkommen</t>
  </si>
  <si>
    <t>Durchschnittsvolumen</t>
  </si>
  <si>
    <t>FDL Termine in Vorlage</t>
  </si>
  <si>
    <t>Notartermine in Vorlage</t>
  </si>
  <si>
    <t>Rollierendes Volumen 6 Monate</t>
  </si>
  <si>
    <t>Produktivität</t>
  </si>
  <si>
    <t xml:space="preserve">Gemeldetes Volumen </t>
  </si>
  <si>
    <t>Wieviele Einwertungen?</t>
  </si>
  <si>
    <t>Weiviele Teilnehmer beim BGA?</t>
  </si>
  <si>
    <t>Wieviele Reservierungen?</t>
  </si>
  <si>
    <t>Wieviele Notartermine?</t>
  </si>
  <si>
    <t>Notartermine stattgefunden mtl.</t>
  </si>
  <si>
    <t>Volumen KAI mtl.</t>
  </si>
  <si>
    <t>Volumen KAI gesamt</t>
  </si>
  <si>
    <t>Notartermine stattgefunden gesamt</t>
  </si>
  <si>
    <t>Anteil KAI / FDL</t>
  </si>
  <si>
    <t>Anzahl beratener FDL Kunden</t>
  </si>
  <si>
    <t>FDL Volumen</t>
  </si>
  <si>
    <t>Volumen pro Kunde</t>
  </si>
  <si>
    <t>FDL Termine stattgefunden</t>
  </si>
  <si>
    <t>Durchschnittsvolumen pro KAI Termin</t>
  </si>
  <si>
    <t>Durchschnittsvolumen pro FDL Termin</t>
  </si>
  <si>
    <t>Wieviel Geld verdient nach Ust: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</si>
</sst>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44" formatCode="_-* #,##0.00\ &quot;€&quot;_-;\-* #,##0.00\ &quot;€&quot;_-;_-* &quot;-&quot;??\ &quot;€&quot;_-;_-@_-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3" fontId="0" fillId="0" borderId="0" xfId="0" applyNumberFormat="1"/>
    <xf numFmtId="44" fontId="0" fillId="0" borderId="0" xfId="1" applyFont="1"/>
    <xf numFmtId="3" fontId="0" fillId="0" borderId="0" xfId="1" applyNumberFormat="1" applyFont="1"/>
    <xf numFmtId="9" fontId="0" fillId="0" borderId="0" xfId="2" applyFont="1"/>
    <xf numFmtId="0" fontId="2" fillId="0" borderId="0" xfId="0" applyFont="1"/>
    <xf numFmtId="8" fontId="2" fillId="0" borderId="0" xfId="0" applyNumberFormat="1" applyFont="1"/>
    <xf numFmtId="0" fontId="2" fillId="0" borderId="0" xfId="0" applyFont="1" applyAlignment="1">
      <alignment wrapText="1"/>
    </xf>
    <xf numFmtId="0" fontId="3" fillId="0" borderId="0" xfId="0" applyFont="1"/>
    <xf numFmtId="8" fontId="3" fillId="0" borderId="0" xfId="0" applyNumberFormat="1" applyFont="1"/>
  </cellXfs>
  <cellStyles count="3">
    <cellStyle name="Prozent" xfId="2" builtinId="5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1B878-4D8F-3B4D-AA42-C04E1DC7E151}">
  <dimension ref="A3:B27"/>
  <sheetViews>
    <sheetView zoomScale="214" workbookViewId="0">
      <selection activeCell="A14" sqref="A14"/>
    </sheetView>
  </sheetViews>
  <sheetFormatPr baseColWidth="10" defaultRowHeight="16" x14ac:dyDescent="0.2"/>
  <cols>
    <col min="1" max="1" width="31.5" bestFit="1" customWidth="1"/>
    <col min="2" max="2" width="14.5" bestFit="1" customWidth="1"/>
    <col min="3" max="3" width="14.33203125" customWidth="1"/>
  </cols>
  <sheetData>
    <row r="3" spans="1:2" x14ac:dyDescent="0.2">
      <c r="A3" t="s">
        <v>11</v>
      </c>
      <c r="B3" s="3">
        <v>6184000</v>
      </c>
    </row>
    <row r="4" spans="1:2" x14ac:dyDescent="0.2">
      <c r="A4" t="s">
        <v>0</v>
      </c>
      <c r="B4" s="3">
        <v>5566592</v>
      </c>
    </row>
    <row r="5" spans="1:2" x14ac:dyDescent="0.2">
      <c r="B5" s="3"/>
    </row>
    <row r="6" spans="1:2" x14ac:dyDescent="0.2">
      <c r="A6" t="s">
        <v>9</v>
      </c>
      <c r="B6" s="1">
        <v>2200000</v>
      </c>
    </row>
    <row r="7" spans="1:2" x14ac:dyDescent="0.2">
      <c r="A7" t="s">
        <v>10</v>
      </c>
      <c r="B7" s="1">
        <v>868884</v>
      </c>
    </row>
    <row r="8" spans="1:2" x14ac:dyDescent="0.2">
      <c r="B8" s="3"/>
    </row>
    <row r="9" spans="1:2" x14ac:dyDescent="0.2">
      <c r="A9" t="s">
        <v>1</v>
      </c>
      <c r="B9">
        <v>83</v>
      </c>
    </row>
    <row r="10" spans="1:2" x14ac:dyDescent="0.2">
      <c r="A10" t="s">
        <v>6</v>
      </c>
      <c r="B10" s="3">
        <f>B3/B9</f>
        <v>74506.024096385547</v>
      </c>
    </row>
    <row r="12" spans="1:2" x14ac:dyDescent="0.2">
      <c r="A12" t="s">
        <v>5</v>
      </c>
      <c r="B12" s="2">
        <v>72219</v>
      </c>
    </row>
    <row r="14" spans="1:2" x14ac:dyDescent="0.2">
      <c r="A14" t="s">
        <v>16</v>
      </c>
      <c r="B14">
        <v>12</v>
      </c>
    </row>
    <row r="15" spans="1:2" x14ac:dyDescent="0.2">
      <c r="A15" t="s">
        <v>19</v>
      </c>
      <c r="B15">
        <v>12</v>
      </c>
    </row>
    <row r="16" spans="1:2" x14ac:dyDescent="0.2">
      <c r="A16" t="s">
        <v>17</v>
      </c>
    </row>
    <row r="17" spans="1:2" x14ac:dyDescent="0.2">
      <c r="A17" t="s">
        <v>18</v>
      </c>
      <c r="B17">
        <f>2853000+250000+335000</f>
        <v>3438000</v>
      </c>
    </row>
    <row r="19" spans="1:2" x14ac:dyDescent="0.2">
      <c r="A19" t="s">
        <v>20</v>
      </c>
      <c r="B19" s="4">
        <f>B17/B3</f>
        <v>0.55595084087968949</v>
      </c>
    </row>
    <row r="21" spans="1:2" x14ac:dyDescent="0.2">
      <c r="A21" t="s">
        <v>7</v>
      </c>
      <c r="B21">
        <v>3</v>
      </c>
    </row>
    <row r="22" spans="1:2" x14ac:dyDescent="0.2">
      <c r="A22" t="s">
        <v>8</v>
      </c>
      <c r="B22">
        <v>5</v>
      </c>
    </row>
    <row r="24" spans="1:2" x14ac:dyDescent="0.2">
      <c r="A24" t="s">
        <v>13</v>
      </c>
    </row>
    <row r="25" spans="1:2" x14ac:dyDescent="0.2">
      <c r="A25" t="s">
        <v>12</v>
      </c>
    </row>
    <row r="26" spans="1:2" x14ac:dyDescent="0.2">
      <c r="A26" t="s">
        <v>14</v>
      </c>
    </row>
    <row r="27" spans="1:2" x14ac:dyDescent="0.2">
      <c r="A27" t="s">
        <v>15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92976-AD49-E94C-B65B-7C69F650EC64}">
  <dimension ref="A3:A9"/>
  <sheetViews>
    <sheetView zoomScale="150" workbookViewId="0">
      <selection activeCell="A4" sqref="A4"/>
    </sheetView>
  </sheetViews>
  <sheetFormatPr baseColWidth="10" defaultRowHeight="16" x14ac:dyDescent="0.2"/>
  <cols>
    <col min="1" max="1" width="25.83203125" customWidth="1"/>
  </cols>
  <sheetData>
    <row r="3" spans="1:1" x14ac:dyDescent="0.2">
      <c r="A3" t="s">
        <v>0</v>
      </c>
    </row>
    <row r="4" spans="1:1" x14ac:dyDescent="0.2">
      <c r="A4" t="s">
        <v>1</v>
      </c>
    </row>
    <row r="6" spans="1:1" x14ac:dyDescent="0.2">
      <c r="A6" t="s">
        <v>2</v>
      </c>
    </row>
    <row r="8" spans="1:1" x14ac:dyDescent="0.2">
      <c r="A8" t="s">
        <v>3</v>
      </c>
    </row>
    <row r="9" spans="1:1" x14ac:dyDescent="0.2">
      <c r="A9" t="s">
        <v>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D229A-B695-7945-9CBE-FBECA77785F3}">
  <dimension ref="A3:C31"/>
  <sheetViews>
    <sheetView tabSelected="1" topLeftCell="A15" zoomScale="150" workbookViewId="0">
      <selection activeCell="A21" sqref="A21"/>
    </sheetView>
  </sheetViews>
  <sheetFormatPr baseColWidth="10" defaultRowHeight="16" x14ac:dyDescent="0.2"/>
  <cols>
    <col min="1" max="1" width="32.83203125" bestFit="1" customWidth="1"/>
  </cols>
  <sheetData>
    <row r="3" spans="1:1" x14ac:dyDescent="0.2">
      <c r="A3" t="s">
        <v>0</v>
      </c>
    </row>
    <row r="4" spans="1:1" x14ac:dyDescent="0.2">
      <c r="A4" t="s">
        <v>1</v>
      </c>
    </row>
    <row r="6" spans="1:1" x14ac:dyDescent="0.2">
      <c r="A6" t="s">
        <v>21</v>
      </c>
    </row>
    <row r="7" spans="1:1" x14ac:dyDescent="0.2">
      <c r="A7" t="s">
        <v>22</v>
      </c>
    </row>
    <row r="8" spans="1:1" x14ac:dyDescent="0.2">
      <c r="A8" t="s">
        <v>23</v>
      </c>
    </row>
    <row r="10" spans="1:1" x14ac:dyDescent="0.2">
      <c r="A10" t="s">
        <v>2</v>
      </c>
    </row>
    <row r="11" spans="1:1" x14ac:dyDescent="0.2">
      <c r="A11" t="s">
        <v>24</v>
      </c>
    </row>
    <row r="13" spans="1:1" x14ac:dyDescent="0.2">
      <c r="A13" t="s">
        <v>25</v>
      </c>
    </row>
    <row r="14" spans="1:1" x14ac:dyDescent="0.2">
      <c r="A14" t="s">
        <v>26</v>
      </c>
    </row>
    <row r="16" spans="1:1" x14ac:dyDescent="0.2">
      <c r="A16" t="s">
        <v>3</v>
      </c>
    </row>
    <row r="17" spans="1:3" x14ac:dyDescent="0.2">
      <c r="A17" t="s">
        <v>4</v>
      </c>
    </row>
    <row r="20" spans="1:3" x14ac:dyDescent="0.2">
      <c r="A20" s="5" t="s">
        <v>27</v>
      </c>
      <c r="B20" s="6"/>
      <c r="C20" s="7"/>
    </row>
    <row r="21" spans="1:3" x14ac:dyDescent="0.2">
      <c r="A21" s="5"/>
      <c r="B21" s="6"/>
      <c r="C21" s="5"/>
    </row>
    <row r="22" spans="1:3" x14ac:dyDescent="0.2">
      <c r="A22" s="5"/>
      <c r="B22" s="6"/>
      <c r="C22" s="5"/>
    </row>
    <row r="23" spans="1:3" x14ac:dyDescent="0.2">
      <c r="A23" s="5"/>
      <c r="B23" s="5"/>
      <c r="C23" s="5"/>
    </row>
    <row r="24" spans="1:3" x14ac:dyDescent="0.2">
      <c r="A24" s="8"/>
      <c r="B24" s="9"/>
      <c r="C24" s="5"/>
    </row>
    <row r="25" spans="1:3" x14ac:dyDescent="0.2">
      <c r="A25" s="5"/>
      <c r="B25" s="5"/>
      <c r="C25" s="5"/>
    </row>
    <row r="26" spans="1:3" x14ac:dyDescent="0.2">
      <c r="A26" s="5"/>
      <c r="B26" s="6"/>
      <c r="C26" s="5"/>
    </row>
    <row r="27" spans="1:3" x14ac:dyDescent="0.2">
      <c r="A27" s="5"/>
      <c r="B27" s="6"/>
      <c r="C27" s="5"/>
    </row>
    <row r="28" spans="1:3" x14ac:dyDescent="0.2">
      <c r="A28" s="5"/>
      <c r="B28" s="6"/>
      <c r="C28" s="5"/>
    </row>
    <row r="29" spans="1:3" x14ac:dyDescent="0.2">
      <c r="A29" s="5"/>
      <c r="B29" s="5"/>
      <c r="C29" s="5"/>
    </row>
    <row r="30" spans="1:3" x14ac:dyDescent="0.2">
      <c r="A30" s="8"/>
      <c r="B30" s="9"/>
      <c r="C30" s="5"/>
    </row>
    <row r="31" spans="1:3" x14ac:dyDescent="0.2">
      <c r="A31" s="5"/>
      <c r="B31" s="5"/>
      <c r="C31" s="5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70240-8090-E248-A6B3-818E18BB4084}">
  <dimension ref="A3:A9"/>
  <sheetViews>
    <sheetView workbookViewId="0">
      <selection activeCell="B3" sqref="B3"/>
    </sheetView>
  </sheetViews>
  <sheetFormatPr baseColWidth="10" defaultRowHeight="16" x14ac:dyDescent="0.2"/>
  <cols>
    <col min="1" max="1" width="25.83203125" customWidth="1"/>
  </cols>
  <sheetData>
    <row r="3" spans="1:1" x14ac:dyDescent="0.2">
      <c r="A3" t="s">
        <v>0</v>
      </c>
    </row>
    <row r="4" spans="1:1" x14ac:dyDescent="0.2">
      <c r="A4" t="s">
        <v>1</v>
      </c>
    </row>
    <row r="6" spans="1:1" x14ac:dyDescent="0.2">
      <c r="A6" t="s">
        <v>2</v>
      </c>
    </row>
    <row r="8" spans="1:1" x14ac:dyDescent="0.2">
      <c r="A8" t="s">
        <v>3</v>
      </c>
    </row>
    <row r="9" spans="1:1" x14ac:dyDescent="0.2">
      <c r="A9" t="s">
        <v>4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FBBE8-A48C-FA4C-BF75-BF4ADD6E8F34}">
  <dimension ref="A3:A9"/>
  <sheetViews>
    <sheetView zoomScale="150" workbookViewId="0">
      <selection activeCell="B3" sqref="B3"/>
    </sheetView>
  </sheetViews>
  <sheetFormatPr baseColWidth="10" defaultRowHeight="16" x14ac:dyDescent="0.2"/>
  <cols>
    <col min="1" max="1" width="25.83203125" customWidth="1"/>
  </cols>
  <sheetData>
    <row r="3" spans="1:1" x14ac:dyDescent="0.2">
      <c r="A3" t="s">
        <v>0</v>
      </c>
    </row>
    <row r="4" spans="1:1" x14ac:dyDescent="0.2">
      <c r="A4" t="s">
        <v>1</v>
      </c>
    </row>
    <row r="6" spans="1:1" x14ac:dyDescent="0.2">
      <c r="A6" t="s">
        <v>2</v>
      </c>
    </row>
    <row r="8" spans="1:1" x14ac:dyDescent="0.2">
      <c r="A8" t="s">
        <v>3</v>
      </c>
    </row>
    <row r="9" spans="1:1" x14ac:dyDescent="0.2">
      <c r="A9" t="s">
        <v>4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FE63F-2FF5-BE40-BC81-6756A2E179CF}">
  <dimension ref="A1"/>
  <sheetViews>
    <sheetView workbookViewId="0"/>
  </sheetViews>
  <sheetFormatPr baseColWidth="10" defaultRowHeight="16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Zahlen 2023</vt:lpstr>
      <vt:lpstr>März 2024</vt:lpstr>
      <vt:lpstr>April 2024</vt:lpstr>
      <vt:lpstr>Februar 2024</vt:lpstr>
      <vt:lpstr>Januar 2024</vt:lpstr>
      <vt:lpstr>Tabelle4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Wecking</dc:creator>
  <cp:lastModifiedBy>Fabian Wecking</cp:lastModifiedBy>
  <dcterms:created xsi:type="dcterms:W3CDTF">2024-01-01T16:56:41Z</dcterms:created>
  <dcterms:modified xsi:type="dcterms:W3CDTF">2024-03-19T16:50:53Z</dcterms:modified>
</cp:coreProperties>
</file>